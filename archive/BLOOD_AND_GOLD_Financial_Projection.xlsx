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1. Project Allocation" sheetId="2" state="visible" r:id="rId2"/>
    <sheet xmlns:r="http://schemas.openxmlformats.org/officeDocument/2006/relationships" name="2. Strategic Catalyst" sheetId="3" state="visible" r:id="rId3"/>
    <sheet xmlns:r="http://schemas.openxmlformats.org/officeDocument/2006/relationships" name="3. Revenue Projection" sheetId="4" state="visible" r:id="rId4"/>
    <sheet xmlns:r="http://schemas.openxmlformats.org/officeDocument/2006/relationships" name="4. Distribution Waterfall" sheetId="5" state="visible" r:id="rId5"/>
    <sheet xmlns:r="http://schemas.openxmlformats.org/officeDocument/2006/relationships" name="5. Revenue Model" sheetId="6" state="visible" r:id="rId6"/>
    <sheet xmlns:r="http://schemas.openxmlformats.org/officeDocument/2006/relationships" name="6. Risk &amp; Exit Strategy" sheetId="7" state="visible" r:id="rId7"/>
    <sheet xmlns:r="http://schemas.openxmlformats.org/officeDocument/2006/relationships" name="7. Fundraising 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A237E"/>
      <sz val="16"/>
    </font>
    <font>
      <name val="Calibri"/>
      <i val="1"/>
      <color rgb="00888888"/>
      <sz val="9"/>
    </font>
    <font>
      <name val="Calibri"/>
      <b val="1"/>
      <color rgb="00333333"/>
      <sz val="11"/>
    </font>
    <font>
      <name val="Calibri"/>
      <color rgb="00333333"/>
      <sz val="11"/>
    </font>
    <font>
      <name val="Calibri"/>
      <b val="1"/>
      <color rgb="00FFFFFF"/>
      <sz val="11"/>
    </font>
    <font>
      <name val="Calibri"/>
      <b val="1"/>
      <color rgb="00B8860B"/>
      <sz val="12"/>
    </font>
    <font>
      <name val="Calibri"/>
      <b val="1"/>
      <color rgb="0027AE60"/>
      <sz val="11"/>
    </font>
    <font>
      <name val="Calibri"/>
      <b val="1"/>
      <color rgb="001A237E"/>
      <sz val="12"/>
    </font>
    <font>
      <name val="Calibri"/>
      <b val="1"/>
      <color rgb="001A237E"/>
      <sz val="11"/>
    </font>
    <font>
      <name val="Calibri"/>
      <b val="1"/>
      <color rgb="00B8860B"/>
      <sz val="11"/>
    </font>
    <font>
      <name val="Calibri"/>
      <b val="1"/>
      <color rgb="00E74C3C"/>
      <sz val="11"/>
    </font>
    <font>
      <name val="Calibri"/>
      <b val="1"/>
      <color rgb="002980B9"/>
      <sz val="11"/>
    </font>
    <font>
      <name val="Calibri"/>
      <b val="1"/>
      <color rgb="0027AE60"/>
      <sz val="12"/>
    </font>
    <font>
      <name val="Calibri"/>
      <b val="1"/>
      <color rgb="001A237E"/>
      <sz val="14"/>
    </font>
  </fonts>
  <fills count="10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1A237E"/>
        <bgColor rgb="001A237E"/>
      </patternFill>
    </fill>
    <fill>
      <patternFill patternType="solid">
        <fgColor rgb="00FDEDEC"/>
        <bgColor rgb="00FDEDEC"/>
      </patternFill>
    </fill>
    <fill>
      <patternFill patternType="solid">
        <fgColor rgb="00FFF8E1"/>
        <bgColor rgb="00FFF8E1"/>
      </patternFill>
    </fill>
    <fill>
      <patternFill patternType="solid">
        <fgColor rgb="00E8F8F5"/>
        <bgColor rgb="00E8F8F5"/>
      </patternFill>
    </fill>
    <fill>
      <patternFill patternType="solid">
        <fgColor rgb="00EBF5FB"/>
        <bgColor rgb="00EBF5FB"/>
      </patternFill>
    </fill>
    <fill>
      <patternFill patternType="solid">
        <fgColor rgb="00E8EAF6"/>
        <bgColor rgb="00E8EAF6"/>
      </patternFill>
    </fill>
    <fill>
      <patternFill patternType="solid">
        <fgColor rgb="00FFF3CD"/>
        <bgColor rgb="00FFF3CD"/>
      </patternFill>
    </fill>
  </fills>
  <borders count="9">
    <border>
      <left/>
      <right/>
      <top/>
      <bottom/>
      <diagonal/>
    </border>
    <border>
      <bottom style="medium">
        <color rgb="001A237E"/>
      </bottom>
    </border>
    <border>
      <right/>
      <bottom style="medium">
        <color rgb="001A237E"/>
      </bottom>
    </border>
    <border>
      <left/>
      <right/>
      <top/>
      <bottom style="medium">
        <color rgb="001A237E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1" fillId="0" borderId="2" applyAlignment="1" pivotButton="0" quotePrefix="0" xfId="0">
      <alignment horizontal="left" vertical="center"/>
    </xf>
    <xf numFmtId="0" fontId="0" fillId="0" borderId="3" pivotButton="0" quotePrefix="0" xfId="0"/>
    <xf numFmtId="0" fontId="3" fillId="2" borderId="4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3" fillId="8" borderId="4" applyAlignment="1" pivotButton="0" quotePrefix="0" xfId="0">
      <alignment horizontal="center" vertical="center" wrapText="1"/>
    </xf>
    <xf numFmtId="0" fontId="8" fillId="9" borderId="4" applyAlignment="1" pivotButton="0" quotePrefix="0" xfId="0">
      <alignment horizontal="center" vertical="center" wrapText="1"/>
    </xf>
    <xf numFmtId="0" fontId="10" fillId="9" borderId="4" applyAlignment="1" pivotButton="0" quotePrefix="0" xfId="0">
      <alignment horizontal="center" vertical="center" wrapText="1"/>
    </xf>
    <xf numFmtId="0" fontId="11" fillId="4" borderId="4" applyAlignment="1" pivotButton="0" quotePrefix="0" xfId="0">
      <alignment horizontal="center" vertical="center" wrapText="1"/>
    </xf>
    <xf numFmtId="0" fontId="12" fillId="7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14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9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2">
      <c r="B2" s="1" t="inlineStr">
        <is>
          <t>BLOOD &amp; GOLD — Financial Projection</t>
        </is>
      </c>
    </row>
    <row r="3">
      <c r="B3" s="2" t="inlineStr">
        <is>
          <t>Sanchuan Holdings | Confidential | Prepared for Zoom Meeting 20 Mar 2026</t>
        </is>
      </c>
    </row>
    <row r="5">
      <c r="B5" s="3" t="inlineStr">
        <is>
          <t>1. PROJECT OVERVIEW</t>
        </is>
      </c>
      <c r="C5" s="4" t="n"/>
      <c r="D5" s="4" t="n"/>
      <c r="E5" s="4" t="n"/>
      <c r="F5" s="4" t="n"/>
    </row>
    <row r="7">
      <c r="B7" s="5" t="inlineStr">
        <is>
          <t>Project Name</t>
        </is>
      </c>
      <c r="C7" s="6" t="inlineStr">
        <is>
          <t>BLOOD &amp; GOLD: The Genesis (深渊博弈)</t>
        </is>
      </c>
      <c r="D7" s="7" t="n"/>
      <c r="E7" s="7" t="n"/>
      <c r="F7" s="8" t="n"/>
    </row>
    <row r="8">
      <c r="B8" s="9" t="inlineStr">
        <is>
          <t>Structure</t>
        </is>
      </c>
      <c r="C8" s="10" t="inlineStr">
        <is>
          <t>Revenue-Sharing Ticket to a Cash-Generating IP Asset</t>
        </is>
      </c>
      <c r="D8" s="7" t="n"/>
      <c r="E8" s="7" t="n"/>
      <c r="F8" s="8" t="n"/>
    </row>
    <row r="9">
      <c r="B9" s="5" t="inlineStr">
        <is>
          <t>Total Project Budget</t>
        </is>
      </c>
      <c r="C9" s="6" t="inlineStr">
        <is>
          <t>฿5,000,000</t>
        </is>
      </c>
      <c r="D9" s="7" t="n"/>
      <c r="E9" s="7" t="n"/>
      <c r="F9" s="8" t="n"/>
    </row>
    <row r="10">
      <c r="B10" s="9" t="inlineStr">
        <is>
          <t>Production Model</t>
        </is>
      </c>
      <c r="C10" s="10" t="inlineStr">
        <is>
          <t>2-Country Shoot (Thailand + China)</t>
        </is>
      </c>
      <c r="D10" s="7" t="n"/>
      <c r="E10" s="7" t="n"/>
      <c r="F10" s="8" t="n"/>
    </row>
    <row r="11">
      <c r="B11" s="5" t="inlineStr">
        <is>
          <t>Content Format</t>
        </is>
      </c>
      <c r="C11" s="6" t="inlineStr">
        <is>
          <t>Micro-Drama Series | 80-100 Episodes | Vertical 9:16</t>
        </is>
      </c>
      <c r="D11" s="7" t="n"/>
      <c r="E11" s="7" t="n"/>
      <c r="F11" s="8" t="n"/>
    </row>
    <row r="12">
      <c r="B12" s="9" t="inlineStr">
        <is>
          <t>Universe Scope</t>
        </is>
      </c>
      <c r="C12" s="10" t="inlineStr">
        <is>
          <t>7 Interconnected Films | Year 1 Budget: ¥5,000,000 CNY</t>
        </is>
      </c>
      <c r="D12" s="7" t="n"/>
      <c r="E12" s="7" t="n"/>
      <c r="F12" s="8" t="n"/>
    </row>
    <row r="13">
      <c r="B13" s="5" t="inlineStr">
        <is>
          <t>Pilot Film Budget</t>
        </is>
      </c>
      <c r="C13" s="6" t="inlineStr">
        <is>
          <t>¥1,000,000 CNY (Premium Team)</t>
        </is>
      </c>
      <c r="D13" s="7" t="n"/>
      <c r="E13" s="7" t="n"/>
      <c r="F13" s="8" t="n"/>
    </row>
    <row r="14">
      <c r="B14" s="9" t="inlineStr">
        <is>
          <t>Target Platforms</t>
        </is>
      </c>
      <c r="C14" s="10" t="inlineStr">
        <is>
          <t>Hongguo Global, ReelShort, DramaBox, TikTok, Douyin</t>
        </is>
      </c>
      <c r="D14" s="7" t="n"/>
      <c r="E14" s="7" t="n"/>
      <c r="F14" s="8" t="n"/>
    </row>
    <row r="15">
      <c r="B15" s="5" t="inlineStr">
        <is>
          <t>Revenue Model</t>
        </is>
      </c>
      <c r="C15" s="6" t="inlineStr">
        <is>
          <t>IAA (Ad Revenue 28-30%) + IAP (Token 10-25%) + IP Licensing</t>
        </is>
      </c>
      <c r="D15" s="7" t="n"/>
      <c r="E15" s="7" t="n"/>
      <c r="F15" s="8" t="n"/>
    </row>
    <row r="16">
      <c r="B16" s="9" t="inlineStr">
        <is>
          <t>Strategic Catalyst</t>
        </is>
      </c>
      <c r="C16" s="10" t="inlineStr">
        <is>
          <t>Guest Star "Aon Somrutai" (Perrine Porter) — Millions of followers</t>
        </is>
      </c>
      <c r="D16" s="7" t="n"/>
      <c r="E16" s="7" t="n"/>
      <c r="F16" s="8" t="n"/>
    </row>
    <row r="17">
      <c r="B17" s="5" t="inlineStr">
        <is>
          <t>Payback Period</t>
        </is>
      </c>
      <c r="C17" s="6" t="inlineStr">
        <is>
          <t>3-5 Months (Industry Avg: 1-3 Months for Hits)</t>
        </is>
      </c>
      <c r="D17" s="7" t="n"/>
      <c r="E17" s="7" t="n"/>
      <c r="F17" s="8" t="n"/>
    </row>
    <row r="18">
      <c r="B18" s="9" t="inlineStr">
        <is>
          <t>Exit Strategy</t>
        </is>
      </c>
      <c r="C18" s="10" t="inlineStr">
        <is>
          <t>IP Sale / Platform Buyout / Franchise Licensing</t>
        </is>
      </c>
      <c r="D18" s="7" t="n"/>
      <c r="E18" s="7" t="n"/>
      <c r="F18" s="8" t="n"/>
    </row>
    <row r="21">
      <c r="B21" s="3" t="inlineStr">
        <is>
          <t>2. KEY INVESTMENT METRICS AT A GLANCE</t>
        </is>
      </c>
      <c r="C21" s="4" t="n"/>
      <c r="D21" s="4" t="n"/>
      <c r="E21" s="4" t="n"/>
      <c r="F21" s="4" t="n"/>
    </row>
    <row r="23">
      <c r="A23" s="11" t="inlineStr">
        <is>
          <t>Metric</t>
        </is>
      </c>
      <c r="B23" s="11" t="inlineStr">
        <is>
          <t>Bear Case</t>
        </is>
      </c>
      <c r="C23" s="11" t="inlineStr">
        <is>
          <t>Base Case</t>
        </is>
      </c>
      <c r="D23" s="11" t="inlineStr">
        <is>
          <t>Bull Case</t>
        </is>
      </c>
      <c r="E23" s="11" t="inlineStr">
        <is>
          <t>Industry Benchmark</t>
        </is>
      </c>
    </row>
    <row r="24">
      <c r="A24" s="12" t="inlineStr">
        <is>
          <t>Total Revenue</t>
        </is>
      </c>
      <c r="B24" s="13" t="inlineStr">
        <is>
          <t>฿5,000,000</t>
        </is>
      </c>
      <c r="C24" s="14" t="inlineStr">
        <is>
          <t>฿15,000,000</t>
        </is>
      </c>
      <c r="D24" s="15" t="inlineStr">
        <is>
          <t>฿50,000,000</t>
        </is>
      </c>
      <c r="E24" s="16" t="inlineStr">
        <is>
          <t>—</t>
        </is>
      </c>
    </row>
    <row r="25">
      <c r="A25" s="12" t="inlineStr">
        <is>
          <t>Net Profit</t>
        </is>
      </c>
      <c r="B25" s="12" t="inlineStr">
        <is>
          <t>฿0</t>
        </is>
      </c>
      <c r="C25" s="14" t="inlineStr">
        <is>
          <t>฿10,000,000</t>
        </is>
      </c>
      <c r="D25" s="15" t="inlineStr">
        <is>
          <t>฿45,000,000</t>
        </is>
      </c>
      <c r="E25" s="16" t="inlineStr">
        <is>
          <t>—</t>
        </is>
      </c>
    </row>
    <row r="26">
      <c r="A26" s="12" t="inlineStr">
        <is>
          <t>Investor Payout (54%)</t>
        </is>
      </c>
      <c r="B26" s="12" t="inlineStr">
        <is>
          <t>฿2,700,000</t>
        </is>
      </c>
      <c r="C26" s="14" t="inlineStr">
        <is>
          <t>฿6,480,000</t>
        </is>
      </c>
      <c r="D26" s="15" t="inlineStr">
        <is>
          <t>฿19,690,000</t>
        </is>
      </c>
      <c r="E26" s="16" t="inlineStr">
        <is>
          <t>—</t>
        </is>
      </c>
    </row>
    <row r="27">
      <c r="A27" s="17" t="inlineStr">
        <is>
          <t>Investor ROI</t>
        </is>
      </c>
      <c r="B27" s="17" t="inlineStr">
        <is>
          <t>0% (Capital Returned)</t>
        </is>
      </c>
      <c r="C27" s="18" t="inlineStr">
        <is>
          <t>140%</t>
        </is>
      </c>
      <c r="D27" s="19" t="inlineStr">
        <is>
          <t>629%</t>
        </is>
      </c>
      <c r="E27" s="20" t="inlineStr">
        <is>
          <t>1,500-2,400%</t>
        </is>
      </c>
    </row>
    <row r="28">
      <c r="A28" s="17" t="inlineStr">
        <is>
          <t>Investor Multiple</t>
        </is>
      </c>
      <c r="B28" s="17" t="inlineStr">
        <is>
          <t>1.0x</t>
        </is>
      </c>
      <c r="C28" s="18" t="inlineStr">
        <is>
          <t>2.4x</t>
        </is>
      </c>
      <c r="D28" s="19" t="inlineStr">
        <is>
          <t>7.3x</t>
        </is>
      </c>
      <c r="E28" s="20" t="inlineStr">
        <is>
          <t>15-25x</t>
        </is>
      </c>
    </row>
    <row r="29">
      <c r="A29" s="12" t="inlineStr">
        <is>
          <t>Payback Period</t>
        </is>
      </c>
      <c r="B29" s="12" t="inlineStr">
        <is>
          <t>5 Months</t>
        </is>
      </c>
      <c r="C29" s="14" t="inlineStr">
        <is>
          <t>3 Months</t>
        </is>
      </c>
      <c r="D29" s="15" t="inlineStr">
        <is>
          <t>1 Month</t>
        </is>
      </c>
      <c r="E29" s="16" t="inlineStr">
        <is>
          <t>1-3 Months</t>
        </is>
      </c>
    </row>
  </sheetData>
  <mergeCells count="15">
    <mergeCell ref="C13:F13"/>
    <mergeCell ref="B21:F21"/>
    <mergeCell ref="C9:F9"/>
    <mergeCell ref="C18:F18"/>
    <mergeCell ref="C17:F17"/>
    <mergeCell ref="B2:F2"/>
    <mergeCell ref="C8:F8"/>
    <mergeCell ref="C12:F12"/>
    <mergeCell ref="B5:F5"/>
    <mergeCell ref="C7:F7"/>
    <mergeCell ref="C16:F16"/>
    <mergeCell ref="C15:F15"/>
    <mergeCell ref="C11:F11"/>
    <mergeCell ref="C10:F10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2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18" customWidth="1" min="4" max="4"/>
    <col width="18" customWidth="1" min="5" max="5"/>
    <col width="25" customWidth="1" min="6" max="6"/>
    <col width="3" customWidth="1" min="7" max="7"/>
  </cols>
  <sheetData>
    <row r="2">
      <c r="B2" s="1" t="inlineStr">
        <is>
          <t>TABLE 1: PROJECT ALLOCATION — "The Train Ticket"</t>
        </is>
      </c>
    </row>
    <row r="3">
      <c r="B3" s="2" t="inlineStr">
        <is>
          <t>The train is already moving. This is your ticket to board.</t>
        </is>
      </c>
    </row>
    <row r="5">
      <c r="A5" s="11" t="inlineStr">
        <is>
          <t>Allocation Category</t>
        </is>
      </c>
      <c r="B5" s="11" t="inlineStr">
        <is>
          <t>Amount (THB)</t>
        </is>
      </c>
      <c r="C5" s="11" t="inlineStr">
        <is>
          <t>% of Total</t>
        </is>
      </c>
      <c r="D5" s="11" t="inlineStr">
        <is>
          <t>Status</t>
        </is>
      </c>
      <c r="E5" s="11" t="inlineStr">
        <is>
          <t>Notes</t>
        </is>
      </c>
    </row>
    <row r="6">
      <c r="A6" s="21" t="inlineStr">
        <is>
          <t>Chinese Partner Capital</t>
        </is>
      </c>
      <c r="B6" s="21" t="inlineStr">
        <is>
          <t>฿1,000,000</t>
        </is>
      </c>
      <c r="C6" s="21" t="inlineStr">
        <is>
          <t>20%</t>
        </is>
      </c>
      <c r="D6" s="21" t="inlineStr">
        <is>
          <t>DEPLOYED</t>
        </is>
      </c>
      <c r="E6" s="21" t="inlineStr">
        <is>
          <t>Sanchuan China — Pre-production started</t>
        </is>
      </c>
    </row>
    <row r="7">
      <c r="A7" s="12" t="inlineStr">
        <is>
          <t>First Investor Capital</t>
        </is>
      </c>
      <c r="B7" s="12" t="inlineStr">
        <is>
          <t>฿1,300,000</t>
        </is>
      </c>
      <c r="C7" s="12" t="inlineStr">
        <is>
          <t>26%</t>
        </is>
      </c>
      <c r="D7" s="12" t="inlineStr">
        <is>
          <t>DEPLOYED</t>
        </is>
      </c>
      <c r="E7" s="12" t="inlineStr">
        <is>
          <t>Secured &amp; committed</t>
        </is>
      </c>
    </row>
    <row r="8">
      <c r="A8" s="18" t="inlineStr">
        <is>
          <t>SUBTOTAL: Secured Capital</t>
        </is>
      </c>
      <c r="B8" s="18" t="inlineStr">
        <is>
          <t>฿2,300,000</t>
        </is>
      </c>
      <c r="C8" s="18" t="inlineStr">
        <is>
          <t>46%</t>
        </is>
      </c>
      <c r="D8" s="18" t="inlineStr">
        <is>
          <t>LOCKED</t>
        </is>
      </c>
      <c r="E8" s="18" t="inlineStr">
        <is>
          <t>Pre-production for next month has begun</t>
        </is>
      </c>
    </row>
    <row r="10">
      <c r="A10" s="22" t="inlineStr">
        <is>
          <t>Available Allocation (Open)</t>
        </is>
      </c>
      <c r="B10" s="22" t="inlineStr">
        <is>
          <t>฿2,700,000</t>
        </is>
      </c>
      <c r="C10" s="22" t="inlineStr">
        <is>
          <t>54%</t>
        </is>
      </c>
      <c r="D10" s="22" t="inlineStr">
        <is>
          <t>OPEN</t>
        </is>
      </c>
      <c r="E10" s="22" t="inlineStr">
        <is>
          <t>Available for qualified investors</t>
        </is>
      </c>
    </row>
    <row r="12">
      <c r="A12" s="23" t="inlineStr">
        <is>
          <t>TOTAL PROJECT BUDGET</t>
        </is>
      </c>
      <c r="B12" s="23" t="inlineStr">
        <is>
          <t>฿5,000,000</t>
        </is>
      </c>
      <c r="C12" s="23" t="inlineStr">
        <is>
          <t>100%</t>
        </is>
      </c>
      <c r="D12" s="23" t="inlineStr">
        <is>
          <t>—</t>
        </is>
      </c>
      <c r="E12" s="23" t="inlineStr">
        <is>
          <t>2-Country Production (Thailand + China)</t>
        </is>
      </c>
    </row>
    <row r="15">
      <c r="B15" s="3" t="inlineStr">
        <is>
          <t>CAPITAL DEPLOYMENT TIMELINE</t>
        </is>
      </c>
      <c r="C15" s="4" t="n"/>
      <c r="D15" s="4" t="n"/>
      <c r="E15" s="4" t="n"/>
      <c r="F15" s="4" t="n"/>
    </row>
    <row r="17">
      <c r="A17" s="11" t="inlineStr">
        <is>
          <t>Phase</t>
        </is>
      </c>
      <c r="B17" s="11" t="inlineStr">
        <is>
          <t>Amount</t>
        </is>
      </c>
      <c r="C17" s="11" t="inlineStr">
        <is>
          <t>Timeline</t>
        </is>
      </c>
      <c r="D17" s="11" t="inlineStr">
        <is>
          <t>Activity</t>
        </is>
      </c>
      <c r="E17" s="11" t="inlineStr">
        <is>
          <t>Status</t>
        </is>
      </c>
    </row>
    <row r="18">
      <c r="A18" s="22" t="inlineStr">
        <is>
          <t>Phase 1: Script &amp; IP</t>
        </is>
      </c>
      <c r="B18" s="22" t="inlineStr">
        <is>
          <t>฿500,000</t>
        </is>
      </c>
      <c r="C18" s="22" t="inlineStr">
        <is>
          <t>Month 1</t>
        </is>
      </c>
      <c r="D18" s="22" t="inlineStr">
        <is>
          <t>Script development, IP registration, casting</t>
        </is>
      </c>
      <c r="E18" s="22" t="inlineStr">
        <is>
          <t>COMPLETE</t>
        </is>
      </c>
    </row>
    <row r="19">
      <c r="A19" s="18" t="inlineStr">
        <is>
          <t>Phase 2: Pre-Production</t>
        </is>
      </c>
      <c r="B19" s="18" t="inlineStr">
        <is>
          <t>฿800,000</t>
        </is>
      </c>
      <c r="C19" s="18" t="inlineStr">
        <is>
          <t>Month 1-2</t>
        </is>
      </c>
      <c r="D19" s="18" t="inlineStr">
        <is>
          <t>Location scouting, crew hiring, equipment</t>
        </is>
      </c>
      <c r="E19" s="18" t="inlineStr">
        <is>
          <t>IN PROGRESS</t>
        </is>
      </c>
    </row>
    <row r="20">
      <c r="A20" s="12" t="inlineStr">
        <is>
          <t>Phase 3: Production (TH)</t>
        </is>
      </c>
      <c r="B20" s="12" t="inlineStr">
        <is>
          <t>฿1,200,000</t>
        </is>
      </c>
      <c r="C20" s="12" t="inlineStr">
        <is>
          <t>Month 2-3</t>
        </is>
      </c>
      <c r="D20" s="12" t="inlineStr">
        <is>
          <t>Thailand shoot — Bangkok &amp; resort locations</t>
        </is>
      </c>
      <c r="E20" s="12" t="inlineStr">
        <is>
          <t>SCHEDULED</t>
        </is>
      </c>
    </row>
    <row r="21">
      <c r="A21" s="21" t="inlineStr">
        <is>
          <t>Phase 4: Production (CN)</t>
        </is>
      </c>
      <c r="B21" s="21" t="inlineStr">
        <is>
          <t>฿1,000,000</t>
        </is>
      </c>
      <c r="C21" s="21" t="inlineStr">
        <is>
          <t>Month 3-4</t>
        </is>
      </c>
      <c r="D21" s="21" t="inlineStr">
        <is>
          <t>China shoot — Shanghai &amp; studio locations</t>
        </is>
      </c>
      <c r="E21" s="21" t="inlineStr">
        <is>
          <t>SCHEDULED</t>
        </is>
      </c>
    </row>
    <row r="22">
      <c r="A22" s="12" t="inlineStr">
        <is>
          <t>Phase 5: Post-Production</t>
        </is>
      </c>
      <c r="B22" s="12" t="inlineStr">
        <is>
          <t>฿800,000</t>
        </is>
      </c>
      <c r="C22" s="12" t="inlineStr">
        <is>
          <t>Month 4-5</t>
        </is>
      </c>
      <c r="D22" s="12" t="inlineStr">
        <is>
          <t>Editing, VFX, sound design, music</t>
        </is>
      </c>
      <c r="E22" s="12" t="inlineStr">
        <is>
          <t>SCHEDULED</t>
        </is>
      </c>
    </row>
    <row r="23">
      <c r="A23" s="21" t="inlineStr">
        <is>
          <t>Phase 6: Marketing &amp; Launch</t>
        </is>
      </c>
      <c r="B23" s="21" t="inlineStr">
        <is>
          <t>฿700,000</t>
        </is>
      </c>
      <c r="C23" s="21" t="inlineStr">
        <is>
          <t>Month 5-6</t>
        </is>
      </c>
      <c r="D23" s="21" t="inlineStr">
        <is>
          <t>Platform submission, KOL seeding, PR</t>
        </is>
      </c>
      <c r="E23" s="21" t="inlineStr">
        <is>
          <t>SCHEDULED</t>
        </is>
      </c>
    </row>
    <row r="24">
      <c r="A24" s="24" t="inlineStr">
        <is>
          <t>TOTAL</t>
        </is>
      </c>
      <c r="B24" s="24" t="inlineStr">
        <is>
          <t>฿5,000,000</t>
        </is>
      </c>
      <c r="C24" s="24" t="inlineStr">
        <is>
          <t>6 Months</t>
        </is>
      </c>
      <c r="D24" s="24" t="inlineStr">
        <is>
          <t>Full Production Cycle</t>
        </is>
      </c>
      <c r="E24" s="24" t="inlineStr">
        <is>
          <t>—</t>
        </is>
      </c>
    </row>
  </sheetData>
  <mergeCells count="2">
    <mergeCell ref="B2:F2"/>
    <mergeCell ref="B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27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20" customWidth="1" min="4" max="4"/>
    <col width="20" customWidth="1" min="5" max="5"/>
    <col width="3" customWidth="1" min="6" max="6"/>
  </cols>
  <sheetData>
    <row r="2">
      <c r="B2" s="1" t="inlineStr">
        <is>
          <t>TABLE 2: STRATEGIC CATALYST &amp; USE OF FUNDS</t>
        </is>
      </c>
    </row>
    <row r="3">
      <c r="B3" s="2" t="inlineStr">
        <is>
          <t>Why ฿5M is the Golden Zone — Maximum ROI with Minimum Risk</t>
        </is>
      </c>
    </row>
    <row r="5">
      <c r="B5" s="25" t="inlineStr">
        <is>
          <t>A. WHY ฿5M BUDGET IS JUSTIFIED</t>
        </is>
      </c>
    </row>
    <row r="7">
      <c r="A7" s="11" t="inlineStr">
        <is>
          <t>Strategic Factor</t>
        </is>
      </c>
      <c r="B7" s="11" t="inlineStr">
        <is>
          <t>Detail</t>
        </is>
      </c>
      <c r="C7" s="11" t="inlineStr">
        <is>
          <t>Impact on ROI</t>
        </is>
      </c>
      <c r="D7" s="11" t="inlineStr">
        <is>
          <t>Evidence</t>
        </is>
      </c>
    </row>
    <row r="8">
      <c r="A8" s="12" t="inlineStr">
        <is>
          <t>2-Country Production</t>
        </is>
      </c>
      <c r="B8" s="12" t="inlineStr">
        <is>
          <t>Shoot in Thailand AND China</t>
        </is>
      </c>
      <c r="C8" s="12" t="inlineStr">
        <is>
          <t>2x Market Access</t>
        </is>
      </c>
      <c r="D8" s="12" t="inlineStr">
        <is>
          <t>Cross-border content gets algorithm push on both Douyin &amp; TikTok</t>
        </is>
      </c>
    </row>
    <row r="9">
      <c r="A9" s="21" t="inlineStr">
        <is>
          <t>Platform Algorithm Push</t>
        </is>
      </c>
      <c r="B9" s="21" t="inlineStr">
        <is>
          <t>Hongguo Global provides full traffic support</t>
        </is>
      </c>
      <c r="C9" s="21" t="inlineStr">
        <is>
          <t>3-5x Organic Reach</t>
        </is>
      </c>
      <c r="D9" s="21" t="inlineStr">
        <is>
          <t>Pre/during/post launch support confirmed by Nana Li (Sanchuan CN)</t>
        </is>
      </c>
    </row>
    <row r="10">
      <c r="A10" s="12" t="inlineStr">
        <is>
          <t>Mega-Influencer Guest Star</t>
        </is>
      </c>
      <c r="B10" s="12" t="inlineStr">
        <is>
          <t>"Aon Somrutai" — Owner of Perrine Porter luxury empire</t>
        </is>
      </c>
      <c r="C10" s="12" t="inlineStr">
        <is>
          <t>Day-1 Viral Traffic</t>
        </is>
      </c>
      <c r="D10" s="12" t="inlineStr">
        <is>
          <t>Millions of followers across platforms, guaranteed explosive launch</t>
        </is>
      </c>
    </row>
    <row r="11">
      <c r="A11" s="21" t="inlineStr">
        <is>
          <t>Premium Production Quality</t>
        </is>
      </c>
      <c r="B11" s="21" t="inlineStr">
        <is>
          <t>A-Grade team, cinema-level production</t>
        </is>
      </c>
      <c r="C11" s="21" t="inlineStr">
        <is>
          <t>Higher Rev Share Tier</t>
        </is>
      </c>
      <c r="D11" s="21" t="inlineStr">
        <is>
          <t>A-Grade content gets 25-30% rev share vs 10% for standard</t>
        </is>
      </c>
    </row>
    <row r="12">
      <c r="A12" s="12" t="inlineStr">
        <is>
          <t>Dual-Version Strategy</t>
        </is>
      </c>
      <c r="B12" s="12" t="inlineStr">
        <is>
          <t>Blood (CN) + Gold (International) versions</t>
        </is>
      </c>
      <c r="C12" s="12" t="inlineStr">
        <is>
          <t>2x Revenue Streams</t>
        </is>
      </c>
      <c r="D12" s="12" t="inlineStr">
        <is>
          <t>Same production cost, double the market coverage</t>
        </is>
      </c>
    </row>
    <row r="13">
      <c r="A13" s="21" t="inlineStr">
        <is>
          <t>7-Film Universe IP</t>
        </is>
      </c>
      <c r="B13" s="21" t="inlineStr">
        <is>
          <t>Not a one-off video — a franchise asset</t>
        </is>
      </c>
      <c r="C13" s="21" t="inlineStr">
        <is>
          <t>Long-tail Revenue</t>
        </is>
      </c>
      <c r="D13" s="21" t="inlineStr">
        <is>
          <t>IP licensing, derivatives, sequel rights = compounding returns</t>
        </is>
      </c>
    </row>
    <row r="17">
      <c r="B17" s="25" t="inlineStr">
        <is>
          <t>B. USE OF FUNDS BREAKDOWN</t>
        </is>
      </c>
    </row>
    <row r="19">
      <c r="A19" s="11" t="inlineStr">
        <is>
          <t>Category</t>
        </is>
      </c>
      <c r="B19" s="11" t="inlineStr">
        <is>
          <t>Amount (THB)</t>
        </is>
      </c>
      <c r="C19" s="11" t="inlineStr">
        <is>
          <t>% of Budget</t>
        </is>
      </c>
      <c r="D19" s="11" t="inlineStr">
        <is>
          <t>Description</t>
        </is>
      </c>
    </row>
    <row r="20">
      <c r="A20" s="12" t="inlineStr">
        <is>
          <t>Script &amp; IP Development</t>
        </is>
      </c>
      <c r="B20" s="12" t="inlineStr">
        <is>
          <t>฿500,000</t>
        </is>
      </c>
      <c r="C20" s="12" t="inlineStr">
        <is>
          <t>10%</t>
        </is>
      </c>
      <c r="D20" s="12" t="inlineStr">
        <is>
          <t>Original screenplay, IP registration, story bible for 7-film universe</t>
        </is>
      </c>
    </row>
    <row r="21">
      <c r="A21" s="21" t="inlineStr">
        <is>
          <t>Talent &amp; Casting</t>
        </is>
      </c>
      <c r="B21" s="21" t="inlineStr">
        <is>
          <t>฿600,000</t>
        </is>
      </c>
      <c r="C21" s="21" t="inlineStr">
        <is>
          <t>12%</t>
        </is>
      </c>
      <c r="D21" s="21" t="inlineStr">
        <is>
          <t>Lead actors, guest star coordination (Aon Somrutai), supporting cast</t>
        </is>
      </c>
    </row>
    <row r="22">
      <c r="A22" s="12" t="inlineStr">
        <is>
          <t>Production — Thailand</t>
        </is>
      </c>
      <c r="B22" s="12" t="inlineStr">
        <is>
          <t>฿1,200,000</t>
        </is>
      </c>
      <c r="C22" s="12" t="inlineStr">
        <is>
          <t>24%</t>
        </is>
      </c>
      <c r="D22" s="12" t="inlineStr">
        <is>
          <t>Bangkok &amp; resort shoots, local crew, equipment rental, locations</t>
        </is>
      </c>
    </row>
    <row r="23">
      <c r="A23" s="21" t="inlineStr">
        <is>
          <t>Production — China</t>
        </is>
      </c>
      <c r="B23" s="21" t="inlineStr">
        <is>
          <t>฿1,000,000</t>
        </is>
      </c>
      <c r="C23" s="21" t="inlineStr">
        <is>
          <t>20%</t>
        </is>
      </c>
      <c r="D23" s="21" t="inlineStr">
        <is>
          <t>Shanghai studio, Chinese crew, cross-border logistics</t>
        </is>
      </c>
    </row>
    <row r="24">
      <c r="A24" s="12" t="inlineStr">
        <is>
          <t>Post-Production</t>
        </is>
      </c>
      <c r="B24" s="12" t="inlineStr">
        <is>
          <t>฿800,000</t>
        </is>
      </c>
      <c r="C24" s="12" t="inlineStr">
        <is>
          <t>16%</t>
        </is>
      </c>
      <c r="D24" s="12" t="inlineStr">
        <is>
          <t>Editing, VFX, color grading, sound design, original music score</t>
        </is>
      </c>
    </row>
    <row r="25">
      <c r="A25" s="21" t="inlineStr">
        <is>
          <t>Marketing &amp; Distribution</t>
        </is>
      </c>
      <c r="B25" s="21" t="inlineStr">
        <is>
          <t>฿700,000</t>
        </is>
      </c>
      <c r="C25" s="21" t="inlineStr">
        <is>
          <t>14%</t>
        </is>
      </c>
      <c r="D25" s="21" t="inlineStr">
        <is>
          <t>KOL seeding, platform submission fees, PR, social media campaign</t>
        </is>
      </c>
    </row>
    <row r="26">
      <c r="A26" s="12" t="inlineStr">
        <is>
          <t>Contingency</t>
        </is>
      </c>
      <c r="B26" s="12" t="inlineStr">
        <is>
          <t>฿200,000</t>
        </is>
      </c>
      <c r="C26" s="12" t="inlineStr">
        <is>
          <t>4%</t>
        </is>
      </c>
      <c r="D26" s="12" t="inlineStr">
        <is>
          <t>Buffer for unexpected costs, currency fluctuation, reshoots</t>
        </is>
      </c>
    </row>
    <row r="27">
      <c r="A27" s="24" t="inlineStr">
        <is>
          <t>TOTAL</t>
        </is>
      </c>
      <c r="B27" s="24" t="inlineStr">
        <is>
          <t>฿5,000,000</t>
        </is>
      </c>
      <c r="C27" s="24" t="inlineStr">
        <is>
          <t>100%</t>
        </is>
      </c>
      <c r="D27" s="24" t="inlineStr">
        <is>
          <t>Complete 2-Country Premium Micro-Drama Production</t>
        </is>
      </c>
    </row>
  </sheetData>
  <mergeCells count="3">
    <mergeCell ref="B17:E17"/>
    <mergeCell ref="B5:E5"/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38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2" customWidth="1" min="3" max="3"/>
    <col width="22" customWidth="1" min="4" max="4"/>
    <col width="22" customWidth="1" min="5" max="5"/>
    <col width="3" customWidth="1" min="6" max="6"/>
  </cols>
  <sheetData>
    <row r="2">
      <c r="B2" s="1" t="inlineStr">
        <is>
          <t>TABLE 3: 3-SCENARIO REVENUE PROJECTION</t>
        </is>
      </c>
    </row>
    <row r="3">
      <c r="B3" s="2" t="inlineStr">
        <is>
          <t>Data-Driven Scenarios Based on Verified Chinese Micro-Drama Market Performance</t>
        </is>
      </c>
    </row>
    <row r="5">
      <c r="B5" s="25" t="inlineStr">
        <is>
          <t>A. REVENUE SCENARIOS</t>
        </is>
      </c>
    </row>
    <row r="7">
      <c r="A7" s="11" t="inlineStr">
        <is>
          <t>Revenue Line Item</t>
        </is>
      </c>
      <c r="B7" s="11" t="inlineStr">
        <is>
          <t>Bear Case
(Conservative)</t>
        </is>
      </c>
      <c r="C7" s="11" t="inlineStr">
        <is>
          <t>Base Case
(Target)</t>
        </is>
      </c>
      <c r="D7" s="11" t="inlineStr">
        <is>
          <t>Bull Case
(Viral Hit)</t>
        </is>
      </c>
    </row>
    <row r="8">
      <c r="A8" s="12" t="inlineStr">
        <is>
          <t>Scenario Description</t>
        </is>
      </c>
      <c r="B8" s="12" t="inlineStr">
        <is>
          <t>Break-Even</t>
        </is>
      </c>
      <c r="C8" s="12" t="inlineStr">
        <is>
          <t>3x Return</t>
        </is>
      </c>
      <c r="D8" s="12" t="inlineStr">
        <is>
          <t>10x Return</t>
        </is>
      </c>
    </row>
    <row r="10">
      <c r="A10" s="26" t="inlineStr">
        <is>
          <t>IAA Revenue (Ad-based)</t>
        </is>
      </c>
      <c r="B10" s="26" t="inlineStr"/>
      <c r="C10" s="26" t="inlineStr"/>
      <c r="D10" s="26" t="inlineStr"/>
    </row>
    <row r="11">
      <c r="A11" s="21" t="inlineStr">
        <is>
          <t xml:space="preserve">  Platform Total Ad Revenue</t>
        </is>
      </c>
      <c r="B11" s="21" t="inlineStr">
        <is>
          <t>฿13,000,000</t>
        </is>
      </c>
      <c r="C11" s="21" t="inlineStr">
        <is>
          <t>฿38,000,000</t>
        </is>
      </c>
      <c r="D11" s="21" t="inlineStr">
        <is>
          <t>฿130,000,000</t>
        </is>
      </c>
    </row>
    <row r="12">
      <c r="A12" s="18" t="inlineStr">
        <is>
          <t xml:space="preserve">  Producer Share @ 28%</t>
        </is>
      </c>
      <c r="B12" s="18" t="inlineStr">
        <is>
          <t>฿3,640,000</t>
        </is>
      </c>
      <c r="C12" s="18" t="inlineStr">
        <is>
          <t>฿10,640,000</t>
        </is>
      </c>
      <c r="D12" s="18" t="inlineStr">
        <is>
          <t>฿36,400,000</t>
        </is>
      </c>
    </row>
    <row r="14">
      <c r="A14" s="26" t="inlineStr">
        <is>
          <t>IAP Revenue (Token/PPV)</t>
        </is>
      </c>
      <c r="B14" s="26" t="inlineStr"/>
      <c r="C14" s="26" t="inlineStr"/>
      <c r="D14" s="26" t="inlineStr"/>
    </row>
    <row r="15">
      <c r="A15" s="21" t="inlineStr">
        <is>
          <t xml:space="preserve">  Platform Total Token Revenue</t>
        </is>
      </c>
      <c r="B15" s="21" t="inlineStr">
        <is>
          <t>฿6,500,000</t>
        </is>
      </c>
      <c r="C15" s="21" t="inlineStr">
        <is>
          <t>฿18,000,000</t>
        </is>
      </c>
      <c r="D15" s="21" t="inlineStr">
        <is>
          <t>฿55,000,000</t>
        </is>
      </c>
    </row>
    <row r="16">
      <c r="A16" s="18" t="inlineStr">
        <is>
          <t xml:space="preserve">  Producer Share @ 18% avg</t>
        </is>
      </c>
      <c r="B16" s="18" t="inlineStr">
        <is>
          <t>฿1,170,000</t>
        </is>
      </c>
      <c r="C16" s="18" t="inlineStr">
        <is>
          <t>฿3,240,000</t>
        </is>
      </c>
      <c r="D16" s="18" t="inlineStr">
        <is>
          <t>฿9,900,000</t>
        </is>
      </c>
    </row>
    <row r="18">
      <c r="A18" s="12" t="inlineStr">
        <is>
          <t>IP Licensing &amp; Derivatives</t>
        </is>
      </c>
      <c r="B18" s="12" t="inlineStr">
        <is>
          <t>฿0</t>
        </is>
      </c>
      <c r="C18" s="12" t="inlineStr">
        <is>
          <t>฿520,000</t>
        </is>
      </c>
      <c r="D18" s="12" t="inlineStr">
        <is>
          <t>฿2,200,000</t>
        </is>
      </c>
    </row>
    <row r="19">
      <c r="A19" s="12" t="inlineStr">
        <is>
          <t>Platform Category Bonus (3-4%)</t>
        </is>
      </c>
      <c r="B19" s="12" t="inlineStr">
        <is>
          <t>฿90,000</t>
        </is>
      </c>
      <c r="C19" s="12" t="inlineStr">
        <is>
          <t>฿300,000</t>
        </is>
      </c>
      <c r="D19" s="12" t="inlineStr">
        <is>
          <t>฿700,000</t>
        </is>
      </c>
    </row>
    <row r="20">
      <c r="A20" s="12" t="inlineStr">
        <is>
          <t>Regional Sub-Licensing (SEA/Global)</t>
        </is>
      </c>
      <c r="B20" s="12" t="inlineStr">
        <is>
          <t>฿100,000</t>
        </is>
      </c>
      <c r="C20" s="12" t="inlineStr">
        <is>
          <t>฿300,000</t>
        </is>
      </c>
      <c r="D20" s="12" t="inlineStr">
        <is>
          <t>฿800,000</t>
        </is>
      </c>
    </row>
    <row r="22">
      <c r="A22" s="27" t="inlineStr">
        <is>
          <t>TOTAL PRODUCER REVENUE</t>
        </is>
      </c>
      <c r="B22" s="27" t="inlineStr">
        <is>
          <t>฿5,000,000</t>
        </is>
      </c>
      <c r="C22" s="27" t="inlineStr">
        <is>
          <t>฿15,000,000</t>
        </is>
      </c>
      <c r="D22" s="27" t="inlineStr">
        <is>
          <t>฿50,000,000</t>
        </is>
      </c>
    </row>
    <row r="29">
      <c r="B29" s="25" t="inlineStr">
        <is>
          <t>B. COMPARABLE CASE STUDIES (Verified Data from Sanchuan PPT)</t>
        </is>
      </c>
    </row>
    <row r="31">
      <c r="A31" s="11" t="inlineStr">
        <is>
          <t>Drama Title</t>
        </is>
      </c>
      <c r="B31" s="11" t="inlineStr">
        <is>
          <t>Production Cost</t>
        </is>
      </c>
      <c r="C31" s="11" t="inlineStr">
        <is>
          <t>Producer Revenue</t>
        </is>
      </c>
      <c r="D31" s="11" t="inlineStr">
        <is>
          <t>ROI</t>
        </is>
      </c>
    </row>
    <row r="32">
      <c r="A32" s="21" t="inlineStr">
        <is>
          <t>Lost Cultivation (修为尽失)</t>
        </is>
      </c>
      <c r="B32" s="21" t="inlineStr">
        <is>
          <t>¥550,000 (~฿2.75M)</t>
        </is>
      </c>
      <c r="C32" s="21" t="inlineStr">
        <is>
          <t>¥13,860,000 (~฿69.3M)</t>
        </is>
      </c>
      <c r="D32" s="21" t="inlineStr">
        <is>
          <t>25.2x</t>
        </is>
      </c>
    </row>
    <row r="33">
      <c r="A33" s="12" t="inlineStr">
        <is>
          <t>Counter Hunt (反猎)</t>
        </is>
      </c>
      <c r="B33" s="12" t="inlineStr">
        <is>
          <t>¥420,000 (~฿2.1M)</t>
        </is>
      </c>
      <c r="C33" s="12" t="inlineStr">
        <is>
          <t>¥8,410,000 (~฿42.1M)</t>
        </is>
      </c>
      <c r="D33" s="12" t="inlineStr">
        <is>
          <t>20.0x</t>
        </is>
      </c>
    </row>
    <row r="34">
      <c r="A34" s="21" t="inlineStr">
        <is>
          <t>City Dragon (花都狂龙) ★ Nana</t>
        </is>
      </c>
      <c r="B34" s="21" t="inlineStr">
        <is>
          <t>¥350,000 (~฿1.75M)</t>
        </is>
      </c>
      <c r="C34" s="21" t="inlineStr">
        <is>
          <t>¥8,575,000 (~฿42.9M)</t>
        </is>
      </c>
      <c r="D34" s="21" t="inlineStr">
        <is>
          <t>24.5x</t>
        </is>
      </c>
    </row>
    <row r="35">
      <c r="A35" s="12" t="inlineStr">
        <is>
          <t>Hidden Identity (隐姓埋名)</t>
        </is>
      </c>
      <c r="B35" s="12" t="inlineStr">
        <is>
          <t>¥600,000 (~฿3.0M)</t>
        </is>
      </c>
      <c r="C35" s="12" t="inlineStr">
        <is>
          <t>¥9,642,500 (~฿48.2M)</t>
        </is>
      </c>
      <c r="D35" s="12" t="inlineStr">
        <is>
          <t>16.1x</t>
        </is>
      </c>
    </row>
    <row r="36">
      <c r="A36" s="28" t="inlineStr">
        <is>
          <t>AVERAGE</t>
        </is>
      </c>
      <c r="B36" s="28" t="inlineStr">
        <is>
          <t>¥480,000 (~฿2.4M)</t>
        </is>
      </c>
      <c r="C36" s="28" t="inlineStr">
        <is>
          <t>¥10,121,875 (~฿50.6M)</t>
        </is>
      </c>
      <c r="D36" s="28" t="inlineStr">
        <is>
          <t>21.4x</t>
        </is>
      </c>
    </row>
    <row r="38">
      <c r="B38" s="2" t="inlineStr">
        <is>
          <t>Note: All case study data sourced from Sanchuan Holdings official PPT (爆款案例分析与回报模型). CNY to THB conversion at 1:5.</t>
        </is>
      </c>
    </row>
  </sheetData>
  <mergeCells count="4">
    <mergeCell ref="B29:E29"/>
    <mergeCell ref="B38:E38"/>
    <mergeCell ref="B5:E5"/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40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2" customWidth="1" min="3" max="3"/>
    <col width="22" customWidth="1" min="4" max="4"/>
    <col width="22" customWidth="1" min="5" max="5"/>
    <col width="3" customWidth="1" min="6" max="6"/>
  </cols>
  <sheetData>
    <row r="2">
      <c r="B2" s="1" t="inlineStr">
        <is>
          <t>TABLE 4: DISTRIBUTION WATERFALL</t>
        </is>
      </c>
    </row>
    <row r="3">
      <c r="B3" s="2" t="inlineStr">
        <is>
          <t>Exact Money Flow for the 54% Investor (฿2.7M Allocation) — Base Case: ฿15M Revenue</t>
        </is>
      </c>
    </row>
    <row r="5">
      <c r="B5" s="25" t="inlineStr">
        <is>
          <t>A. BASE CASE WATERFALL (฿15,000,000 Revenue)</t>
        </is>
      </c>
    </row>
    <row r="7">
      <c r="A7" s="11" t="inlineStr">
        <is>
          <t>Step</t>
        </is>
      </c>
      <c r="B7" s="11" t="inlineStr">
        <is>
          <t>Description</t>
        </is>
      </c>
      <c r="C7" s="11" t="inlineStr">
        <is>
          <t>Amount (THB)</t>
        </is>
      </c>
      <c r="D7" s="11" t="inlineStr">
        <is>
          <t>Running Total</t>
        </is>
      </c>
    </row>
    <row r="8">
      <c r="A8" s="12" t="inlineStr">
        <is>
          <t>1. Gross Revenue</t>
        </is>
      </c>
      <c r="B8" s="12" t="inlineStr">
        <is>
          <t>Total producer revenue from all platforms</t>
        </is>
      </c>
      <c r="C8" s="12" t="inlineStr">
        <is>
          <t>฿15,000,000</t>
        </is>
      </c>
      <c r="D8" s="12" t="inlineStr">
        <is>
          <t>฿15,000,000</t>
        </is>
      </c>
    </row>
    <row r="9">
      <c r="A9" s="21" t="inlineStr">
        <is>
          <t>2. Budget Deduction</t>
        </is>
      </c>
      <c r="B9" s="21" t="inlineStr">
        <is>
          <t>Return of total production budget (principal)</t>
        </is>
      </c>
      <c r="C9" s="21" t="inlineStr">
        <is>
          <t>-฿5,000,000</t>
        </is>
      </c>
      <c r="D9" s="21" t="inlineStr">
        <is>
          <t>฿10,000,000</t>
        </is>
      </c>
    </row>
    <row r="10">
      <c r="A10" s="12" t="inlineStr">
        <is>
          <t>3. Net Profit</t>
        </is>
      </c>
      <c r="B10" s="12" t="inlineStr">
        <is>
          <t>Revenue minus Budget = Net Profit</t>
        </is>
      </c>
      <c r="C10" s="12">
        <f> ฿10,000,000</f>
        <v/>
      </c>
      <c r="D10" s="12" t="inlineStr">
        <is>
          <t>฿10,000,000</t>
        </is>
      </c>
    </row>
    <row r="11">
      <c r="A11" s="29" t="inlineStr">
        <is>
          <t>4. Management Fee (30%)</t>
        </is>
      </c>
      <c r="B11" s="29" t="inlineStr">
        <is>
          <t>Sanchuan execution fee (30% of Net Profit)</t>
        </is>
      </c>
      <c r="C11" s="29" t="inlineStr">
        <is>
          <t>-฿3,000,000</t>
        </is>
      </c>
      <c r="D11" s="29" t="inlineStr">
        <is>
          <t>฿7,000,000</t>
        </is>
      </c>
    </row>
    <row r="12">
      <c r="A12" s="30" t="inlineStr">
        <is>
          <t>5. Dividend Pool (70%)</t>
        </is>
      </c>
      <c r="B12" s="30" t="inlineStr">
        <is>
          <t>Remaining 70% of Net Profit for all investors</t>
        </is>
      </c>
      <c r="C12" s="30">
        <f> ฿7,000,000</f>
        <v/>
      </c>
      <c r="D12" s="30" t="inlineStr">
        <is>
          <t>฿7,000,000</t>
        </is>
      </c>
    </row>
    <row r="14">
      <c r="A14" s="12" t="inlineStr">
        <is>
          <t>6. 54% Investor Share</t>
        </is>
      </c>
      <c r="B14" s="12" t="inlineStr">
        <is>
          <t>54% of Dividend Pool</t>
        </is>
      </c>
      <c r="C14" s="12" t="inlineStr">
        <is>
          <t>฿3,780,000</t>
        </is>
      </c>
      <c r="D14" s="12" t="inlineStr">
        <is>
          <t>—</t>
        </is>
      </c>
    </row>
    <row r="15">
      <c r="A15" s="21" t="inlineStr">
        <is>
          <t>7. Capital Return</t>
        </is>
      </c>
      <c r="B15" s="21" t="inlineStr">
        <is>
          <t>Original investment returned</t>
        </is>
      </c>
      <c r="C15" s="21" t="inlineStr">
        <is>
          <t>฿2,700,000</t>
        </is>
      </c>
      <c r="D15" s="21" t="inlineStr">
        <is>
          <t>—</t>
        </is>
      </c>
    </row>
    <row r="16">
      <c r="A16" s="31" t="inlineStr">
        <is>
          <t>8. TOTAL INVESTOR PAYOUT</t>
        </is>
      </c>
      <c r="B16" s="31" t="inlineStr">
        <is>
          <t>Capital + Profit Share</t>
        </is>
      </c>
      <c r="C16" s="31" t="inlineStr">
        <is>
          <t>฿6,480,000</t>
        </is>
      </c>
      <c r="D16" s="31" t="inlineStr">
        <is>
          <t>—</t>
        </is>
      </c>
    </row>
    <row r="18">
      <c r="A18" s="12" t="inlineStr">
        <is>
          <t>9. INVESTOR NET PROFIT</t>
        </is>
      </c>
      <c r="B18" s="12" t="inlineStr">
        <is>
          <t>Total Payout minus Original Investment</t>
        </is>
      </c>
      <c r="C18" s="12" t="inlineStr">
        <is>
          <t>฿3,780,000</t>
        </is>
      </c>
      <c r="D18" s="12" t="inlineStr">
        <is>
          <t>—</t>
        </is>
      </c>
    </row>
    <row r="19">
      <c r="A19" s="32" t="inlineStr">
        <is>
          <t>10. INVESTOR ROI</t>
        </is>
      </c>
      <c r="B19" s="32" t="inlineStr">
        <is>
          <t>Net Profit / Original Investment</t>
        </is>
      </c>
      <c r="C19" s="32" t="inlineStr">
        <is>
          <t>140%</t>
        </is>
      </c>
      <c r="D19" s="32" t="inlineStr">
        <is>
          <t>—</t>
        </is>
      </c>
    </row>
    <row r="20">
      <c r="A20" s="32" t="inlineStr">
        <is>
          <t>11. INVESTOR MULTIPLE</t>
        </is>
      </c>
      <c r="B20" s="32" t="inlineStr">
        <is>
          <t>Total Payout / Original Investment</t>
        </is>
      </c>
      <c r="C20" s="32" t="inlineStr">
        <is>
          <t>2.4x</t>
        </is>
      </c>
      <c r="D20" s="32" t="inlineStr">
        <is>
          <t>—</t>
        </is>
      </c>
    </row>
    <row r="25">
      <c r="B25" s="25" t="inlineStr">
        <is>
          <t>B. 3-SCENARIO INVESTOR RETURNS (54% / ฿2.7M Allocation)</t>
        </is>
      </c>
    </row>
    <row r="27">
      <c r="A27" s="11" t="inlineStr">
        <is>
          <t>Metric</t>
        </is>
      </c>
      <c r="B27" s="11" t="inlineStr">
        <is>
          <t>Bear Case</t>
        </is>
      </c>
      <c r="C27" s="11" t="inlineStr">
        <is>
          <t>Base Case</t>
        </is>
      </c>
      <c r="D27" s="11" t="inlineStr">
        <is>
          <t>Bull Case</t>
        </is>
      </c>
    </row>
    <row r="28">
      <c r="A28" s="12" t="inlineStr">
        <is>
          <t>Total Revenue</t>
        </is>
      </c>
      <c r="B28" s="12" t="inlineStr">
        <is>
          <t>฿5,000,000</t>
        </is>
      </c>
      <c r="C28" s="12" t="inlineStr">
        <is>
          <t>฿15,000,000</t>
        </is>
      </c>
      <c r="D28" s="12" t="inlineStr">
        <is>
          <t>฿50,000,000</t>
        </is>
      </c>
    </row>
    <row r="29">
      <c r="A29" s="21" t="inlineStr">
        <is>
          <t>Budget Deduction</t>
        </is>
      </c>
      <c r="B29" s="21" t="inlineStr">
        <is>
          <t>-฿5,000,000</t>
        </is>
      </c>
      <c r="C29" s="21" t="inlineStr">
        <is>
          <t>-฿5,000,000</t>
        </is>
      </c>
      <c r="D29" s="21" t="inlineStr">
        <is>
          <t>-฿5,000,000</t>
        </is>
      </c>
    </row>
    <row r="30">
      <c r="A30" s="12" t="inlineStr">
        <is>
          <t>Net Profit</t>
        </is>
      </c>
      <c r="B30" s="12" t="inlineStr">
        <is>
          <t>฿0</t>
        </is>
      </c>
      <c r="C30" s="12" t="inlineStr">
        <is>
          <t>฿10,000,000</t>
        </is>
      </c>
      <c r="D30" s="12" t="inlineStr">
        <is>
          <t>฿45,000,000</t>
        </is>
      </c>
    </row>
    <row r="31">
      <c r="A31" s="29" t="inlineStr">
        <is>
          <t>Management Fee (30%)</t>
        </is>
      </c>
      <c r="B31" s="29" t="inlineStr">
        <is>
          <t>฿0</t>
        </is>
      </c>
      <c r="C31" s="29" t="inlineStr">
        <is>
          <t>-฿3,000,000</t>
        </is>
      </c>
      <c r="D31" s="29" t="inlineStr">
        <is>
          <t>-฿13,500,000</t>
        </is>
      </c>
    </row>
    <row r="32">
      <c r="A32" s="30" t="inlineStr">
        <is>
          <t>Dividend Pool (70%)</t>
        </is>
      </c>
      <c r="B32" s="30" t="inlineStr">
        <is>
          <t>฿0</t>
        </is>
      </c>
      <c r="C32" s="30" t="inlineStr">
        <is>
          <t>฿7,000,000</t>
        </is>
      </c>
      <c r="D32" s="30" t="inlineStr">
        <is>
          <t>฿31,500,000</t>
        </is>
      </c>
    </row>
    <row r="33">
      <c r="A33" s="21" t="inlineStr">
        <is>
          <t>54% Investor Profit Share</t>
        </is>
      </c>
      <c r="B33" s="21" t="inlineStr">
        <is>
          <t>฿0</t>
        </is>
      </c>
      <c r="C33" s="21" t="inlineStr">
        <is>
          <t>฿3,780,000</t>
        </is>
      </c>
      <c r="D33" s="21" t="inlineStr">
        <is>
          <t>฿17,010,000</t>
        </is>
      </c>
    </row>
    <row r="34">
      <c r="A34" s="12" t="inlineStr">
        <is>
          <t>Capital Return</t>
        </is>
      </c>
      <c r="B34" s="12" t="inlineStr">
        <is>
          <t>฿2,700,000</t>
        </is>
      </c>
      <c r="C34" s="12" t="inlineStr">
        <is>
          <t>฿2,700,000</t>
        </is>
      </c>
      <c r="D34" s="12" t="inlineStr">
        <is>
          <t>฿2,700,000</t>
        </is>
      </c>
    </row>
    <row r="35">
      <c r="A35" s="31" t="inlineStr">
        <is>
          <t>TOTAL INVESTOR PAYOUT</t>
        </is>
      </c>
      <c r="B35" s="31" t="inlineStr">
        <is>
          <t>฿2,700,000</t>
        </is>
      </c>
      <c r="C35" s="31" t="inlineStr">
        <is>
          <t>฿6,480,000</t>
        </is>
      </c>
      <c r="D35" s="31" t="inlineStr">
        <is>
          <t>฿19,710,000</t>
        </is>
      </c>
    </row>
    <row r="37">
      <c r="A37" s="21" t="inlineStr">
        <is>
          <t>Investor Net Profit</t>
        </is>
      </c>
      <c r="B37" s="21" t="inlineStr">
        <is>
          <t>฿0</t>
        </is>
      </c>
      <c r="C37" s="21" t="inlineStr">
        <is>
          <t>฿3,780,000</t>
        </is>
      </c>
      <c r="D37" s="21" t="inlineStr">
        <is>
          <t>฿17,010,000</t>
        </is>
      </c>
    </row>
    <row r="38">
      <c r="A38" s="32" t="inlineStr">
        <is>
          <t>Investor ROI</t>
        </is>
      </c>
      <c r="B38" s="32" t="inlineStr">
        <is>
          <t>0%</t>
        </is>
      </c>
      <c r="C38" s="32" t="inlineStr">
        <is>
          <t>140%</t>
        </is>
      </c>
      <c r="D38" s="32" t="inlineStr">
        <is>
          <t>630%</t>
        </is>
      </c>
    </row>
    <row r="39">
      <c r="A39" s="32" t="inlineStr">
        <is>
          <t>Investor Multiple</t>
        </is>
      </c>
      <c r="B39" s="32" t="inlineStr">
        <is>
          <t>1.0x</t>
        </is>
      </c>
      <c r="C39" s="32" t="inlineStr">
        <is>
          <t>2.4x</t>
        </is>
      </c>
      <c r="D39" s="32" t="inlineStr">
        <is>
          <t>7.3x</t>
        </is>
      </c>
    </row>
    <row r="40">
      <c r="A40" s="12" t="inlineStr">
        <is>
          <t>Payback Period</t>
        </is>
      </c>
      <c r="B40" s="12" t="inlineStr">
        <is>
          <t>5 Months</t>
        </is>
      </c>
      <c r="C40" s="12" t="inlineStr">
        <is>
          <t>3 Months</t>
        </is>
      </c>
      <c r="D40" s="12" t="inlineStr">
        <is>
          <t>1 Month</t>
        </is>
      </c>
    </row>
  </sheetData>
  <mergeCells count="3">
    <mergeCell ref="B5:E5"/>
    <mergeCell ref="B25:E25"/>
    <mergeCell ref="B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E30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22" customWidth="1" min="4" max="4"/>
    <col width="22" customWidth="1" min="5" max="5"/>
    <col width="3" customWidth="1" min="6" max="6"/>
  </cols>
  <sheetData>
    <row r="2">
      <c r="B2" s="1" t="inlineStr">
        <is>
          <t>REVENUE MODEL DEEP DIVE — How Money Flows</t>
        </is>
      </c>
    </row>
    <row r="3">
      <c r="B3" s="2" t="inlineStr">
        <is>
          <t>Multi-Platform, Multi-Revenue Stream Architecture</t>
        </is>
      </c>
    </row>
    <row r="5">
      <c r="B5" s="25" t="inlineStr">
        <is>
          <t>A. PLATFORM REVENUE MODELS</t>
        </is>
      </c>
    </row>
    <row r="7">
      <c r="A7" s="11" t="inlineStr">
        <is>
          <t>Platform</t>
        </is>
      </c>
      <c r="B7" s="11" t="inlineStr">
        <is>
          <t>Model</t>
        </is>
      </c>
      <c r="C7" s="11" t="inlineStr">
        <is>
          <t>Producer Rev Share</t>
        </is>
      </c>
      <c r="D7" s="11" t="inlineStr">
        <is>
          <t>Notes</t>
        </is>
      </c>
    </row>
    <row r="8">
      <c r="A8" s="32" t="inlineStr">
        <is>
          <t>Hongguo Global (宏国)</t>
        </is>
      </c>
      <c r="B8" s="32" t="inlineStr">
        <is>
          <t>IAA (Ad Revenue)</t>
        </is>
      </c>
      <c r="C8" s="32" t="inlineStr">
        <is>
          <t>28-30%</t>
        </is>
      </c>
      <c r="D8" s="32" t="inlineStr">
        <is>
          <t>Highest margin — Platform provides full traffic support</t>
        </is>
      </c>
    </row>
    <row r="9">
      <c r="A9" s="21" t="inlineStr">
        <is>
          <t>Hongguo Global (宏国)</t>
        </is>
      </c>
      <c r="B9" s="21" t="inlineStr">
        <is>
          <t>IAP (Token/PPV)</t>
        </is>
      </c>
      <c r="C9" s="21" t="inlineStr">
        <is>
          <t>10-25%</t>
        </is>
      </c>
      <c r="D9" s="21" t="inlineStr">
        <is>
          <t>Users buy tokens to unlock episodes</t>
        </is>
      </c>
    </row>
    <row r="10">
      <c r="A10" s="12" t="inlineStr">
        <is>
          <t>ReelShort</t>
        </is>
      </c>
      <c r="B10" s="12" t="inlineStr">
        <is>
          <t>IAP + Subscription</t>
        </is>
      </c>
      <c r="C10" s="12" t="inlineStr">
        <is>
          <t>15-20%</t>
        </is>
      </c>
      <c r="D10" s="12" t="inlineStr">
        <is>
          <t>US-focused, high ARPU market</t>
        </is>
      </c>
    </row>
    <row r="11">
      <c r="A11" s="21" t="inlineStr">
        <is>
          <t>DramaBox</t>
        </is>
      </c>
      <c r="B11" s="21" t="inlineStr">
        <is>
          <t>IAP + Ad Hybrid</t>
        </is>
      </c>
      <c r="C11" s="21" t="inlineStr">
        <is>
          <t>12-18%</t>
        </is>
      </c>
      <c r="D11" s="21" t="inlineStr">
        <is>
          <t>Global distribution, growing user base</t>
        </is>
      </c>
    </row>
    <row r="12">
      <c r="A12" s="12" t="inlineStr">
        <is>
          <t>FlexTV / ShortMax</t>
        </is>
      </c>
      <c r="B12" s="12" t="inlineStr">
        <is>
          <t>IAP</t>
        </is>
      </c>
      <c r="C12" s="12" t="inlineStr">
        <is>
          <t>10-15%</t>
        </is>
      </c>
      <c r="D12" s="12" t="inlineStr">
        <is>
          <t>Supplementary platforms</t>
        </is>
      </c>
    </row>
    <row r="13">
      <c r="A13" s="21" t="inlineStr">
        <is>
          <t>Douyin (China)</t>
        </is>
      </c>
      <c r="B13" s="21" t="inlineStr">
        <is>
          <t>IAA + Traffic Bonus</t>
        </is>
      </c>
      <c r="C13" s="21" t="inlineStr">
        <is>
          <t>25-30%</t>
        </is>
      </c>
      <c r="D13" s="21" t="inlineStr">
        <is>
          <t>Massive Chinese user base, algorithm push</t>
        </is>
      </c>
    </row>
    <row r="14">
      <c r="A14" s="12" t="inlineStr">
        <is>
          <t>TikTok (Global)</t>
        </is>
      </c>
      <c r="B14" s="12" t="inlineStr">
        <is>
          <t>IAA (Coming Soon)</t>
        </is>
      </c>
      <c r="C14" s="12" t="inlineStr">
        <is>
          <t>TBD</t>
        </is>
      </c>
      <c r="D14" s="12" t="inlineStr">
        <is>
          <t>TikTok micro-drama launching in Thailand — P'Bench connection</t>
        </is>
      </c>
    </row>
    <row r="15">
      <c r="A15" s="21" t="inlineStr">
        <is>
          <t>YouTube Shorts</t>
        </is>
      </c>
      <c r="B15" s="21" t="inlineStr">
        <is>
          <t>Ad Revenue Share</t>
        </is>
      </c>
      <c r="C15" s="21" t="inlineStr">
        <is>
          <t>45-55%</t>
        </is>
      </c>
      <c r="D15" s="21" t="inlineStr">
        <is>
          <t>Long-tail revenue, SEO-driven discovery</t>
        </is>
      </c>
    </row>
    <row r="20">
      <c r="B20" s="25" t="inlineStr">
        <is>
          <t>B. REVENUE TIMELINE (Month-by-Month Projection — Base Case)</t>
        </is>
      </c>
    </row>
    <row r="22">
      <c r="A22" s="11" t="inlineStr">
        <is>
          <t>Month</t>
        </is>
      </c>
      <c r="B22" s="11" t="inlineStr">
        <is>
          <t>Activity</t>
        </is>
      </c>
      <c r="C22" s="11" t="inlineStr">
        <is>
          <t>Cumulative Revenue</t>
        </is>
      </c>
      <c r="D22" s="11" t="inlineStr">
        <is>
          <t>Notes</t>
        </is>
      </c>
    </row>
    <row r="23">
      <c r="A23" s="12" t="inlineStr">
        <is>
          <t>Month 1-2</t>
        </is>
      </c>
      <c r="B23" s="12" t="inlineStr">
        <is>
          <t>Pre-Production + Production TH</t>
        </is>
      </c>
      <c r="C23" s="12" t="inlineStr">
        <is>
          <t>฿0</t>
        </is>
      </c>
      <c r="D23" s="12" t="inlineStr">
        <is>
          <t>Capital deployment phase</t>
        </is>
      </c>
    </row>
    <row r="24">
      <c r="A24" s="21" t="inlineStr">
        <is>
          <t>Month 3-4</t>
        </is>
      </c>
      <c r="B24" s="21" t="inlineStr">
        <is>
          <t>Production CN + Post-Production</t>
        </is>
      </c>
      <c r="C24" s="21" t="inlineStr">
        <is>
          <t>฿0</t>
        </is>
      </c>
      <c r="D24" s="21" t="inlineStr">
        <is>
          <t>Content creation phase</t>
        </is>
      </c>
    </row>
    <row r="25">
      <c r="A25" s="12" t="inlineStr">
        <is>
          <t>Month 5</t>
        </is>
      </c>
      <c r="B25" s="12" t="inlineStr">
        <is>
          <t>Platform Submission + Soft Launch</t>
        </is>
      </c>
      <c r="C25" s="12" t="inlineStr">
        <is>
          <t>฿1,500,000</t>
        </is>
      </c>
      <c r="D25" s="12" t="inlineStr">
        <is>
          <t>Algorithm testing, initial traffic push</t>
        </is>
      </c>
    </row>
    <row r="26">
      <c r="A26" s="21" t="inlineStr">
        <is>
          <t>Month 6</t>
        </is>
      </c>
      <c r="B26" s="21" t="inlineStr">
        <is>
          <t>Full Launch + Marketing Blitz</t>
        </is>
      </c>
      <c r="C26" s="21" t="inlineStr">
        <is>
          <t>฿4,500,000</t>
        </is>
      </c>
      <c r="D26" s="21" t="inlineStr">
        <is>
          <t>KOL seeding, Aon Somrutai promotion</t>
        </is>
      </c>
    </row>
    <row r="27">
      <c r="A27" s="12" t="inlineStr">
        <is>
          <t>Month 7</t>
        </is>
      </c>
      <c r="B27" s="12" t="inlineStr">
        <is>
          <t>Peak Revenue Period</t>
        </is>
      </c>
      <c r="C27" s="12" t="inlineStr">
        <is>
          <t>฿8,000,000</t>
        </is>
      </c>
      <c r="D27" s="12" t="inlineStr">
        <is>
          <t>72-hour peak + sustained traffic</t>
        </is>
      </c>
    </row>
    <row r="28">
      <c r="A28" s="21" t="inlineStr">
        <is>
          <t>Month 8</t>
        </is>
      </c>
      <c r="B28" s="21" t="inlineStr">
        <is>
          <t>Sustained Revenue</t>
        </is>
      </c>
      <c r="C28" s="21" t="inlineStr">
        <is>
          <t>฿11,000,000</t>
        </is>
      </c>
      <c r="D28" s="21" t="inlineStr">
        <is>
          <t>Long-tail ad revenue + token sales</t>
        </is>
      </c>
    </row>
    <row r="29">
      <c r="A29" s="12" t="inlineStr">
        <is>
          <t>Month 9</t>
        </is>
      </c>
      <c r="B29" s="12" t="inlineStr">
        <is>
          <t>Multi-Platform Expansion</t>
        </is>
      </c>
      <c r="C29" s="12" t="inlineStr">
        <is>
          <t>฿13,000,000</t>
        </is>
      </c>
      <c r="D29" s="12" t="inlineStr">
        <is>
          <t>Regional licensing kicks in</t>
        </is>
      </c>
    </row>
    <row r="30">
      <c r="A30" s="21" t="inlineStr">
        <is>
          <t>Month 10-12</t>
        </is>
      </c>
      <c r="B30" s="21" t="inlineStr">
        <is>
          <t>Long-tail + IP Revenue</t>
        </is>
      </c>
      <c r="C30" s="21" t="inlineStr">
        <is>
          <t>฿15,000,000</t>
        </is>
      </c>
      <c r="D30" s="21" t="inlineStr">
        <is>
          <t>Steady state revenue + IP derivatives</t>
        </is>
      </c>
    </row>
  </sheetData>
  <mergeCells count="3">
    <mergeCell ref="B5:E5"/>
    <mergeCell ref="B2:E2"/>
    <mergeCell ref="B20:E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E23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5" customWidth="1" min="3" max="3"/>
    <col width="25" customWidth="1" min="4" max="4"/>
    <col width="20" customWidth="1" min="5" max="5"/>
    <col width="3" customWidth="1" min="6" max="6"/>
  </cols>
  <sheetData>
    <row r="2">
      <c r="B2" s="1" t="inlineStr">
        <is>
          <t>RISK ANALYSIS &amp; EXIT STRATEGY</t>
        </is>
      </c>
    </row>
    <row r="4">
      <c r="B4" s="25" t="inlineStr">
        <is>
          <t>A. RISK MATRIX</t>
        </is>
      </c>
    </row>
    <row r="6">
      <c r="A6" s="11" t="inlineStr">
        <is>
          <t>Risk Factor</t>
        </is>
      </c>
      <c r="B6" s="11" t="inlineStr">
        <is>
          <t>Probability</t>
        </is>
      </c>
      <c r="C6" s="11" t="inlineStr">
        <is>
          <t>Impact</t>
        </is>
      </c>
      <c r="D6" s="11" t="inlineStr">
        <is>
          <t>Mitigation</t>
        </is>
      </c>
    </row>
    <row r="7">
      <c r="A7" s="14" t="inlineStr">
        <is>
          <t>Content underperforms</t>
        </is>
      </c>
      <c r="B7" s="14" t="inlineStr">
        <is>
          <t>Medium</t>
        </is>
      </c>
      <c r="C7" s="14" t="inlineStr">
        <is>
          <t>High</t>
        </is>
      </c>
      <c r="D7" s="14" t="inlineStr">
        <is>
          <t>Data-driven script (proven genre), A-grade production, Aon Somrutai traffic guarantee</t>
        </is>
      </c>
    </row>
    <row r="8">
      <c r="A8" s="15" t="inlineStr">
        <is>
          <t>Platform policy change</t>
        </is>
      </c>
      <c r="B8" s="15" t="inlineStr">
        <is>
          <t>Low</t>
        </is>
      </c>
      <c r="C8" s="15" t="inlineStr">
        <is>
          <t>Medium</t>
        </is>
      </c>
      <c r="D8" s="15" t="inlineStr">
        <is>
          <t>Multi-platform distribution (8+ platforms), not dependent on single platform</t>
        </is>
      </c>
    </row>
    <row r="9">
      <c r="A9" s="14" t="inlineStr">
        <is>
          <t>Currency fluctuation (THB/CNY)</t>
        </is>
      </c>
      <c r="B9" s="14" t="inlineStr">
        <is>
          <t>Medium</t>
        </is>
      </c>
      <c r="C9" s="14" t="inlineStr">
        <is>
          <t>Low</t>
        </is>
      </c>
      <c r="D9" s="14" t="inlineStr">
        <is>
          <t>4% contingency buffer, production costs locked in advance</t>
        </is>
      </c>
    </row>
    <row r="10">
      <c r="A10" s="15" t="inlineStr">
        <is>
          <t>Production delays</t>
        </is>
      </c>
      <c r="B10" s="15" t="inlineStr">
        <is>
          <t>Low</t>
        </is>
      </c>
      <c r="C10" s="15" t="inlineStr">
        <is>
          <t>Medium</t>
        </is>
      </c>
      <c r="D10" s="15" t="inlineStr">
        <is>
          <t>Experienced CN+TH team, parallel production schedule</t>
        </is>
      </c>
    </row>
    <row r="11">
      <c r="A11" s="14" t="inlineStr">
        <is>
          <t>Competition from other content</t>
        </is>
      </c>
      <c r="B11" s="14" t="inlineStr">
        <is>
          <t>Medium</t>
        </is>
      </c>
      <c r="C11" s="14" t="inlineStr">
        <is>
          <t>Low</t>
        </is>
      </c>
      <c r="D11" s="14" t="inlineStr">
        <is>
          <t>Blue ocean in Thailand, first-mover advantage with TikTok micro-drama</t>
        </is>
      </c>
    </row>
    <row r="12">
      <c r="A12" s="15" t="inlineStr">
        <is>
          <t>Regulatory/censorship issues</t>
        </is>
      </c>
      <c r="B12" s="15" t="inlineStr">
        <is>
          <t>Low</t>
        </is>
      </c>
      <c r="C12" s="15" t="inlineStr">
        <is>
          <t>Medium</t>
        </is>
      </c>
      <c r="D12" s="15" t="inlineStr">
        <is>
          <t>Dual-version strategy (Blood for CN, Gold for international)</t>
        </is>
      </c>
    </row>
    <row r="16">
      <c r="B16" s="25" t="inlineStr">
        <is>
          <t>B. EXIT STRATEGY OPTIONS</t>
        </is>
      </c>
    </row>
    <row r="18">
      <c r="A18" s="11" t="inlineStr">
        <is>
          <t>Exit Path</t>
        </is>
      </c>
      <c r="B18" s="11" t="inlineStr">
        <is>
          <t>Timeline</t>
        </is>
      </c>
      <c r="C18" s="11" t="inlineStr">
        <is>
          <t>Estimated Value</t>
        </is>
      </c>
      <c r="D18" s="11" t="inlineStr">
        <is>
          <t>Probability</t>
        </is>
      </c>
    </row>
    <row r="19">
      <c r="A19" s="12" t="inlineStr">
        <is>
          <t>Revenue Distribution (Primary)</t>
        </is>
      </c>
      <c r="B19" s="12" t="inlineStr">
        <is>
          <t>Month 5-12</t>
        </is>
      </c>
      <c r="C19" s="12" t="inlineStr">
        <is>
          <t>฿5M-50M+ (per scenario)</t>
        </is>
      </c>
      <c r="D19" s="12" t="inlineStr">
        <is>
          <t>HIGH — Default path</t>
        </is>
      </c>
    </row>
    <row r="20">
      <c r="A20" s="21" t="inlineStr">
        <is>
          <t>IP Franchise Sale</t>
        </is>
      </c>
      <c r="B20" s="21" t="inlineStr">
        <is>
          <t>Year 1-2</t>
        </is>
      </c>
      <c r="C20" s="21" t="inlineStr">
        <is>
          <t>฿10M-30M</t>
        </is>
      </c>
      <c r="D20" s="21" t="inlineStr">
        <is>
          <t>MEDIUM — After proving concept</t>
        </is>
      </c>
    </row>
    <row r="21">
      <c r="A21" s="12" t="inlineStr">
        <is>
          <t>Platform Exclusive Deal</t>
        </is>
      </c>
      <c r="B21" s="12" t="inlineStr">
        <is>
          <t>Year 1</t>
        </is>
      </c>
      <c r="C21" s="12" t="inlineStr">
        <is>
          <t>฿8M-20M</t>
        </is>
      </c>
      <c r="D21" s="12" t="inlineStr">
        <is>
          <t>MEDIUM — If content goes viral</t>
        </is>
      </c>
    </row>
    <row r="22">
      <c r="A22" s="21" t="inlineStr">
        <is>
          <t>Sequel/Spin-off Licensing</t>
        </is>
      </c>
      <c r="B22" s="21" t="inlineStr">
        <is>
          <t>Year 2+</t>
        </is>
      </c>
      <c r="C22" s="21" t="inlineStr">
        <is>
          <t>฿5M-15M per title</t>
        </is>
      </c>
      <c r="D22" s="21" t="inlineStr">
        <is>
          <t>HIGH — 7-film universe planned</t>
        </is>
      </c>
    </row>
    <row r="23">
      <c r="A23" s="12" t="inlineStr">
        <is>
          <t>Studio Acquisition/Merger</t>
        </is>
      </c>
      <c r="B23" s="12" t="inlineStr">
        <is>
          <t>Year 2-3</t>
        </is>
      </c>
      <c r="C23" s="12" t="inlineStr">
        <is>
          <t>฿50M-100M+</t>
        </is>
      </c>
      <c r="D23" s="12" t="inlineStr">
        <is>
          <t>LOW — Long-term upside</t>
        </is>
      </c>
    </row>
  </sheetData>
  <mergeCells count="3">
    <mergeCell ref="B16:E16"/>
    <mergeCell ref="B2:E2"/>
    <mergeCell ref="B4:E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E23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2" customWidth="1" min="3" max="3"/>
    <col width="22" customWidth="1" min="4" max="4"/>
    <col width="22" customWidth="1" min="5" max="5"/>
    <col width="3" customWidth="1" min="6" max="6"/>
  </cols>
  <sheetData>
    <row r="2">
      <c r="B2" s="1" t="inlineStr">
        <is>
          <t>FUNDRAISING STATUS — Capital Secured vs. Open</t>
        </is>
      </c>
    </row>
    <row r="3">
      <c r="B3" s="2" t="inlineStr">
        <is>
          <t>As of March 2026 — Pre-production has commenced</t>
        </is>
      </c>
    </row>
    <row r="5">
      <c r="A5" s="11" t="inlineStr">
        <is>
          <t>Source</t>
        </is>
      </c>
      <c r="B5" s="11" t="inlineStr">
        <is>
          <t>Amount (THB)</t>
        </is>
      </c>
      <c r="C5" s="11" t="inlineStr">
        <is>
          <t>% of Total</t>
        </is>
      </c>
      <c r="D5" s="11" t="inlineStr">
        <is>
          <t>Status</t>
        </is>
      </c>
    </row>
    <row r="6">
      <c r="A6" s="12" t="inlineStr">
        <is>
          <t>Sanchuan China (Chinese Partner)</t>
        </is>
      </c>
      <c r="B6" s="12" t="inlineStr">
        <is>
          <t>฿1,000,000</t>
        </is>
      </c>
      <c r="C6" s="12" t="inlineStr">
        <is>
          <t>20%</t>
        </is>
      </c>
      <c r="D6" s="12" t="inlineStr">
        <is>
          <t>SECURED &amp; DEPLOYED</t>
        </is>
      </c>
    </row>
    <row r="7">
      <c r="A7" s="21" t="inlineStr">
        <is>
          <t>First Investor</t>
        </is>
      </c>
      <c r="B7" s="21" t="inlineStr">
        <is>
          <t>฿1,300,000</t>
        </is>
      </c>
      <c r="C7" s="21" t="inlineStr">
        <is>
          <t>26%</t>
        </is>
      </c>
      <c r="D7" s="21" t="inlineStr">
        <is>
          <t>SECURED &amp; DEPLOYED</t>
        </is>
      </c>
    </row>
    <row r="8">
      <c r="A8" s="31" t="inlineStr">
        <is>
          <t>TOTAL SECURED</t>
        </is>
      </c>
      <c r="B8" s="31" t="inlineStr">
        <is>
          <t>฿2,300,000</t>
        </is>
      </c>
      <c r="C8" s="31" t="inlineStr">
        <is>
          <t>46%</t>
        </is>
      </c>
      <c r="D8" s="31" t="inlineStr">
        <is>
          <t>LOCKED</t>
        </is>
      </c>
    </row>
    <row r="10">
      <c r="A10" s="32" t="inlineStr">
        <is>
          <t>Open Allocation</t>
        </is>
      </c>
      <c r="B10" s="32" t="inlineStr">
        <is>
          <t>฿2,700,000</t>
        </is>
      </c>
      <c r="C10" s="32" t="inlineStr">
        <is>
          <t>54%</t>
        </is>
      </c>
      <c r="D10" s="32" t="inlineStr">
        <is>
          <t>AVAILABLE</t>
        </is>
      </c>
    </row>
    <row r="12">
      <c r="A12" s="23" t="inlineStr">
        <is>
          <t>TOTAL PROJECT BUDGET</t>
        </is>
      </c>
      <c r="B12" s="23" t="inlineStr">
        <is>
          <t>฿5,000,000</t>
        </is>
      </c>
      <c r="C12" s="23" t="inlineStr">
        <is>
          <t>100%</t>
        </is>
      </c>
      <c r="D12" s="23" t="inlineStr">
        <is>
          <t>—</t>
        </is>
      </c>
    </row>
    <row r="17">
      <c r="B17" s="33" t="inlineStr">
        <is>
          <t>KEY MESSAGE TO INVESTOR:</t>
        </is>
      </c>
    </row>
    <row r="18">
      <c r="B18" s="34" t="inlineStr">
        <is>
          <t>1. The train is already moving — ฿2.3M (46%) has been deployed. Pre-production has started.</t>
        </is>
      </c>
    </row>
    <row r="19">
      <c r="B19" s="34" t="inlineStr">
        <is>
          <t>2. This is NOT a speculative pitch — it's an invitation to join a project that is already in motion.</t>
        </is>
      </c>
    </row>
    <row r="20">
      <c r="B20" s="34" t="inlineStr">
        <is>
          <t>3. The ฿2.7M (54%) allocation gives you the largest single stake in a proven-model asset.</t>
        </is>
      </c>
    </row>
    <row r="21">
      <c r="B21" s="34" t="inlineStr">
        <is>
          <t>4. Your capital is protected: In the Bear Case, you get 100% of your capital back.</t>
        </is>
      </c>
    </row>
    <row r="22">
      <c r="B22" s="34" t="inlineStr">
        <is>
          <t>5. In the Base Case, you make 140% ROI (2.4x). In the Bull Case, 630% ROI (7.3x).</t>
        </is>
      </c>
    </row>
    <row r="23">
      <c r="B23" s="34" t="inlineStr">
        <is>
          <t>6. This is a revenue-sharing ticket, not equity dilution. Clean, transparent, time-bound.</t>
        </is>
      </c>
    </row>
  </sheetData>
  <mergeCells count="8">
    <mergeCell ref="B20:E20"/>
    <mergeCell ref="B17:E17"/>
    <mergeCell ref="B18:E18"/>
    <mergeCell ref="B23:E23"/>
    <mergeCell ref="B21:E21"/>
    <mergeCell ref="B19:E19"/>
    <mergeCell ref="B2:E2"/>
    <mergeCell ref="B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2026-03-18T18:25:48Z</dcterms:created>
  <dcterms:modified xmlns:dcterms="http://purl.org/dc/terms/" xmlns:xsi="http://www.w3.org/2001/XMLSchema-instance" xsi:type="dcterms:W3CDTF">2026-03-18T18:25:48Z</dcterms:modified>
</cp:coreProperties>
</file>